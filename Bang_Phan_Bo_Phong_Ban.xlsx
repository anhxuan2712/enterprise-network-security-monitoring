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Bang Phong B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<sst xmlns="http://schemas.openxmlformats.org/spreadsheetml/2006/main" count="165" uniqueCount="97">
  <si>
    <t>BẢNG PHÂN BỔ TẦNG - PHÒNG - BỘ PHẬN &amp; PHÂN VÙNG RỦI RO (ZONE) - CÔNG TY CÔNG NGHỆ (2 TÒA)</t>
  </si>
  <si>
    <t>Mô hình tham khảo - phân vùng theo mức độ rủi ro (Zone) và quyền truy cập tương ứng</t>
  </si>
  <si>
    <t>Tòa</t>
  </si>
  <si>
    <t>Tầng</t>
  </si>
  <si>
    <t>Mã phòng</t>
  </si>
  <si>
    <t>Tên bộ phận / Phòng</t>
  </si>
  <si>
    <t>Số người</t>
  </si>
  <si>
    <t>Zone</t>
  </si>
  <si>
    <t>Risk Level</t>
  </si>
  <si>
    <t>Truy cập</t>
  </si>
  <si>
    <t>Ghi chú</t>
  </si>
  <si>
    <t>TÒA A
(Vận hành kỹ thuật)</t>
  </si>
  <si>
    <t>A-101</t>
  </si>
  <si>
    <t>Sảnh lễ tân</t>
  </si>
  <si>
    <t>Guest</t>
  </si>
  <si>
    <t>Untrusted</t>
  </si>
  <si>
    <t>Internet only</t>
  </si>
  <si>
    <t>Lễ tân, đón khách</t>
  </si>
  <si>
    <t>A-102</t>
  </si>
  <si>
    <t>Phòng bảo vệ / Kiểm soát ra vào</t>
  </si>
  <si>
    <t>Infra</t>
  </si>
  <si>
    <t>High</t>
  </si>
  <si>
    <t>Admin only</t>
  </si>
  <si>
    <t>Vận hành camera, kiểm soát cửa</t>
  </si>
  <si>
    <t>A-201</t>
  </si>
  <si>
    <t>Phòng Lab / Dev - Test</t>
  </si>
  <si>
    <t>User</t>
  </si>
  <si>
    <t>Medium/High</t>
  </si>
  <si>
    <t>App</t>
  </si>
  <si>
    <t>Môi trường thử nghiệm, tách biệt Production</t>
  </si>
  <si>
    <t>A-202</t>
  </si>
  <si>
    <t>Phòng máy chủ tầng (Tủ mạng/IDF)</t>
  </si>
  <si>
    <t>Critical</t>
  </si>
  <si>
    <t>Kỹ thuật viên ra vào bảo trì</t>
  </si>
  <si>
    <t>A-203</t>
  </si>
  <si>
    <t>Phòng IT Helpdesk nội bộ</t>
  </si>
  <si>
    <t>Hỗ trợ thiết bị nhân viên</t>
  </si>
  <si>
    <t>A-301</t>
  </si>
  <si>
    <t>Phòng Backend Developer</t>
  </si>
  <si>
    <t>DB</t>
  </si>
  <si>
    <t>A-302</t>
  </si>
  <si>
    <t>Phòng Database / Data Engineer</t>
  </si>
  <si>
    <t>Data</t>
  </si>
  <si>
    <t>Internal only</t>
  </si>
  <si>
    <t>A-303</t>
  </si>
  <si>
    <t>Phòng Frontend Developer</t>
  </si>
  <si>
    <t>Medium</t>
  </si>
  <si>
    <t>A-401</t>
  </si>
  <si>
    <t>Phòng QA / Tester</t>
  </si>
  <si>
    <t>A-402</t>
  </si>
  <si>
    <t>Phòng UI/UX Designer</t>
  </si>
  <si>
    <t>A-403</t>
  </si>
  <si>
    <t>Phòng DevOps / SysAdmin</t>
  </si>
  <si>
    <t>A-404</t>
  </si>
  <si>
    <t>Phòng NOC/SOC (Giám sát vận hành)</t>
  </si>
  <si>
    <t>Trực ca theo dõi hệ thống</t>
  </si>
  <si>
    <t>A-501</t>
  </si>
  <si>
    <t>Phòng Sản phẩm (Product Manager)</t>
  </si>
  <si>
    <t>A-502</t>
  </si>
  <si>
    <t>Phòng CEO / CTO</t>
  </si>
  <si>
    <t>A-503</t>
  </si>
  <si>
    <t>Phòng họp Ban Giám đốc</t>
  </si>
  <si>
    <t>Sức chứa 10 người</t>
  </si>
  <si>
    <t>TỔNG NHÂN SỰ TÒA A</t>
  </si>
  <si>
    <t>TÒA B
(Kinh doanh &amp; Hỗ trợ)</t>
  </si>
  <si>
    <t>B-101</t>
  </si>
  <si>
    <t>Sảnh tiếp khách hàng / Đối tác</t>
  </si>
  <si>
    <t>Lễ tân riêng</t>
  </si>
  <si>
    <t>B-102</t>
  </si>
  <si>
    <t>Phòng họp với đối tác</t>
  </si>
  <si>
    <t>Sức chứa 8 người</t>
  </si>
  <si>
    <t>B-201</t>
  </si>
  <si>
    <t>Phòng Kinh doanh (Sales)</t>
  </si>
  <si>
    <t>B-202</t>
  </si>
  <si>
    <t>Phòng Marketing</t>
  </si>
  <si>
    <t>B-301</t>
  </si>
  <si>
    <t>Phòng Nhân sự (HR)</t>
  </si>
  <si>
    <t>Xử lý dữ liệu cá nhân nhân viên</t>
  </si>
  <si>
    <t>B-302</t>
  </si>
  <si>
    <t>Phòng Kế toán / Tài chính</t>
  </si>
  <si>
    <t>Dữ liệu tài chính nhạy cảm</t>
  </si>
  <si>
    <t>B-303</t>
  </si>
  <si>
    <t>Phòng Pháp chế / Hành chính (Legal/Admin)</t>
  </si>
  <si>
    <t>B-304</t>
  </si>
  <si>
    <t>Phòng Chăm sóc khách hàng (CSKH)</t>
  </si>
  <si>
    <t>B-401</t>
  </si>
  <si>
    <t>Phòng Triển khai dự án (PM/BA)</t>
  </si>
  <si>
    <t>B-402</t>
  </si>
  <si>
    <t>Phòng đào tạo nội bộ</t>
  </si>
  <si>
    <t>Low</t>
  </si>
  <si>
    <t>Sức chứa 20 người, dùng chung</t>
  </si>
  <si>
    <t>B-403</t>
  </si>
  <si>
    <t>Canteen / Khu nghỉ nhân viên</t>
  </si>
  <si>
    <t>Không tính thiết bị cố định</t>
  </si>
  <si>
    <t>TỔNG NHÂN SỰ TÒA B</t>
  </si>
  <si>
    <t>TỔNG NHÂN SỰ TOÀN CÔNG TY</t>
  </si>
  <si>
    <t>Chú thích Risk Level: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</si>
</sst>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\ _₫_-;\-* #,##0\ _₫_-;_-* &quot;-&quot;\ _₫_-;_-@_-"/>
    <numFmt numFmtId="43" formatCode="_-* #,##0.00\ _₫_-;\-* #,##0.00\ _₫_-;_-* &quot;-&quot;??\ _₫_-;_-@_-"/>
    <numFmt numFmtId="176" formatCode="_-* #,##0.00\ &quot;₫&quot;_-;\-* #,##0.00\ &quot;₫&quot;_-;_-* &quot;-&quot;??\ &quot;₫&quot;_-;_-@_-"/>
    <numFmt numFmtId="177" formatCode="_-* #,##0\ &quot;₫&quot;_-;\-* #,##0\ &quot;₫&quot;_-;_-* &quot;-&quot;\ &quot;₫&quot;_-;_-@_-"/>
  </numFmts>
  <fonts count="30">
    <font>
      <sz val="11"/>
      <color theme="1"/>
      <name val="Calibri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D9D9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CE4D6"/>
      </patternFill>
    </fill>
    <fill>
      <patternFill patternType="solid">
        <fgColor rgb="FFD9E1F2"/>
        <bgColor rgb="FFD9D9D9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176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177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/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/>
    <xf numFmtId="0" fontId="7" fillId="0" borderId="0" xfId="0" applyFont="1"/>
    <xf numFmtId="0" fontId="8" fillId="4" borderId="1" xfId="0" applyFont="1" applyFill="1" applyBorder="1"/>
    <xf numFmtId="0" fontId="8" fillId="10" borderId="1" xfId="0" applyFont="1" applyFill="1" applyBorder="1"/>
    <xf numFmtId="0" fontId="8" fillId="6" borderId="1" xfId="0" applyFont="1" applyFill="1" applyBorder="1"/>
    <xf numFmtId="0" fontId="8" fillId="5" borderId="1" xfId="0" applyFont="1" applyFill="1" applyBorder="1"/>
    <xf numFmtId="0" fontId="8" fillId="7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548235"/>
      <rgbColor rgb="00800080"/>
      <rgbColor rgb="00008080"/>
      <rgbColor rgb="00B7B7B7"/>
      <rgbColor rgb="00808080"/>
      <rgbColor rgb="009999FF"/>
      <rgbColor rgb="00993366"/>
      <rgbColor rgb="00FFF2CC"/>
      <rgbColor rgb="00D9E1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CE4D6"/>
      <rgbColor rgb="0099CCFF"/>
      <rgbColor rgb="00FF99CC"/>
      <rgbColor rgb="00CC99FF"/>
      <rgbColor rgb="00F8CBAD"/>
      <rgbColor rgb="002E75B6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workbookViewId="0">
      <pane ySplit="4" topLeftCell="A15" activePane="bottomLeft" state="frozen"/>
      <selection/>
      <selection pane="bottomLeft" activeCell="H17" sqref="H17"/>
    </sheetView>
  </sheetViews>
  <sheetFormatPr defaultColWidth="8.67592592592593" defaultRowHeight="14.4"/>
  <cols>
    <col min="1" max="1" width="16" customWidth="1"/>
    <col min="2" max="2" width="8" customWidth="1"/>
    <col min="3" max="3" width="12" customWidth="1"/>
    <col min="4" max="4" width="32" customWidth="1"/>
    <col min="5" max="5" width="10" customWidth="1"/>
    <col min="6" max="6" width="9" customWidth="1"/>
    <col min="7" max="7" width="13" customWidth="1"/>
    <col min="8" max="8" width="14" customWidth="1"/>
    <col min="9" max="9" width="32" customWidth="1"/>
  </cols>
  <sheetData>
    <row r="1" ht="17.4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15" customHeight="1" spans="1:9">
      <c r="A5" s="4" t="s">
        <v>11</v>
      </c>
      <c r="B5" s="5">
        <v>1</v>
      </c>
      <c r="C5" s="6" t="s">
        <v>12</v>
      </c>
      <c r="D5" s="6" t="s">
        <v>13</v>
      </c>
      <c r="E5" s="5">
        <v>2</v>
      </c>
      <c r="F5" s="5" t="s">
        <v>14</v>
      </c>
      <c r="G5" s="7" t="s">
        <v>15</v>
      </c>
      <c r="H5" s="6" t="s">
        <v>16</v>
      </c>
      <c r="I5" s="6" t="s">
        <v>17</v>
      </c>
    </row>
    <row r="6" spans="1:9">
      <c r="A6" s="4"/>
      <c r="B6" s="5">
        <v>1</v>
      </c>
      <c r="C6" s="6" t="s">
        <v>18</v>
      </c>
      <c r="D6" s="6" t="s">
        <v>19</v>
      </c>
      <c r="E6" s="5">
        <v>2</v>
      </c>
      <c r="F6" s="5" t="s">
        <v>20</v>
      </c>
      <c r="G6" s="8" t="s">
        <v>21</v>
      </c>
      <c r="H6" s="6" t="s">
        <v>22</v>
      </c>
      <c r="I6" s="6" t="s">
        <v>23</v>
      </c>
    </row>
    <row r="7" ht="27.6" spans="1:9">
      <c r="A7" s="4"/>
      <c r="B7" s="5">
        <v>2</v>
      </c>
      <c r="C7" s="6" t="s">
        <v>24</v>
      </c>
      <c r="D7" s="6" t="s">
        <v>25</v>
      </c>
      <c r="E7" s="5">
        <v>10</v>
      </c>
      <c r="F7" s="5" t="s">
        <v>26</v>
      </c>
      <c r="G7" s="9" t="s">
        <v>27</v>
      </c>
      <c r="H7" s="6" t="s">
        <v>28</v>
      </c>
      <c r="I7" s="6" t="s">
        <v>29</v>
      </c>
    </row>
    <row r="8" ht="27.6" spans="1:9">
      <c r="A8" s="4"/>
      <c r="B8" s="5">
        <v>2</v>
      </c>
      <c r="C8" s="6" t="s">
        <v>30</v>
      </c>
      <c r="D8" s="6" t="s">
        <v>31</v>
      </c>
      <c r="E8" s="5">
        <v>0</v>
      </c>
      <c r="F8" s="5" t="s">
        <v>20</v>
      </c>
      <c r="G8" s="10" t="s">
        <v>32</v>
      </c>
      <c r="H8" s="6" t="s">
        <v>22</v>
      </c>
      <c r="I8" s="6" t="s">
        <v>33</v>
      </c>
    </row>
    <row r="9" spans="1:9">
      <c r="A9" s="4"/>
      <c r="B9" s="5">
        <v>2</v>
      </c>
      <c r="C9" s="6" t="s">
        <v>34</v>
      </c>
      <c r="D9" s="6" t="s">
        <v>35</v>
      </c>
      <c r="E9" s="5">
        <v>4</v>
      </c>
      <c r="F9" s="5" t="s">
        <v>20</v>
      </c>
      <c r="G9" s="8" t="s">
        <v>21</v>
      </c>
      <c r="H9" s="6" t="s">
        <v>22</v>
      </c>
      <c r="I9" s="6" t="s">
        <v>36</v>
      </c>
    </row>
    <row r="10" spans="1:9">
      <c r="A10" s="4"/>
      <c r="B10" s="5">
        <v>3</v>
      </c>
      <c r="C10" s="6" t="s">
        <v>37</v>
      </c>
      <c r="D10" s="6" t="s">
        <v>38</v>
      </c>
      <c r="E10" s="5">
        <v>15</v>
      </c>
      <c r="F10" s="5" t="s">
        <v>28</v>
      </c>
      <c r="G10" s="8" t="s">
        <v>21</v>
      </c>
      <c r="H10" s="6" t="s">
        <v>39</v>
      </c>
      <c r="I10" s="6"/>
    </row>
    <row r="11" spans="1:9">
      <c r="A11" s="4"/>
      <c r="B11" s="5">
        <v>3</v>
      </c>
      <c r="C11" s="6" t="s">
        <v>40</v>
      </c>
      <c r="D11" s="6" t="s">
        <v>41</v>
      </c>
      <c r="E11" s="5">
        <v>8</v>
      </c>
      <c r="F11" s="5" t="s">
        <v>42</v>
      </c>
      <c r="G11" s="10" t="s">
        <v>32</v>
      </c>
      <c r="H11" s="6" t="s">
        <v>43</v>
      </c>
      <c r="I11" s="6"/>
    </row>
    <row r="12" spans="1:9">
      <c r="A12" s="4"/>
      <c r="B12" s="5">
        <v>3</v>
      </c>
      <c r="C12" s="6" t="s">
        <v>44</v>
      </c>
      <c r="D12" s="6" t="s">
        <v>45</v>
      </c>
      <c r="E12" s="5">
        <v>15</v>
      </c>
      <c r="F12" s="5" t="s">
        <v>26</v>
      </c>
      <c r="G12" s="9" t="s">
        <v>46</v>
      </c>
      <c r="H12" s="6" t="s">
        <v>28</v>
      </c>
      <c r="I12" s="6"/>
    </row>
    <row r="13" spans="1:9">
      <c r="A13" s="4"/>
      <c r="B13" s="5">
        <v>4</v>
      </c>
      <c r="C13" s="6" t="s">
        <v>47</v>
      </c>
      <c r="D13" s="6" t="s">
        <v>48</v>
      </c>
      <c r="E13" s="5">
        <v>10</v>
      </c>
      <c r="F13" s="5" t="s">
        <v>26</v>
      </c>
      <c r="G13" s="9" t="s">
        <v>46</v>
      </c>
      <c r="H13" s="6" t="s">
        <v>28</v>
      </c>
      <c r="I13" s="6"/>
    </row>
    <row r="14" spans="1:9">
      <c r="A14" s="4"/>
      <c r="B14" s="5">
        <v>4</v>
      </c>
      <c r="C14" s="6" t="s">
        <v>49</v>
      </c>
      <c r="D14" s="6" t="s">
        <v>50</v>
      </c>
      <c r="E14" s="5">
        <v>6</v>
      </c>
      <c r="F14" s="5" t="s">
        <v>26</v>
      </c>
      <c r="G14" s="9" t="s">
        <v>46</v>
      </c>
      <c r="H14" s="6" t="s">
        <v>28</v>
      </c>
      <c r="I14" s="6"/>
    </row>
    <row r="15" spans="1:9">
      <c r="A15" s="4"/>
      <c r="B15" s="5">
        <v>4</v>
      </c>
      <c r="C15" s="6" t="s">
        <v>51</v>
      </c>
      <c r="D15" s="6" t="s">
        <v>52</v>
      </c>
      <c r="E15" s="5">
        <v>8</v>
      </c>
      <c r="F15" s="5" t="s">
        <v>20</v>
      </c>
      <c r="G15" s="10" t="s">
        <v>32</v>
      </c>
      <c r="H15" s="6" t="s">
        <v>22</v>
      </c>
      <c r="I15" s="6"/>
    </row>
    <row r="16" ht="27.6" spans="1:9">
      <c r="A16" s="4"/>
      <c r="B16" s="5">
        <v>4</v>
      </c>
      <c r="C16" s="6" t="s">
        <v>53</v>
      </c>
      <c r="D16" s="6" t="s">
        <v>54</v>
      </c>
      <c r="E16" s="5">
        <v>4</v>
      </c>
      <c r="F16" s="5" t="s">
        <v>20</v>
      </c>
      <c r="G16" s="10" t="s">
        <v>32</v>
      </c>
      <c r="H16" s="6" t="s">
        <v>22</v>
      </c>
      <c r="I16" s="6" t="s">
        <v>55</v>
      </c>
    </row>
    <row r="17" ht="27.6" spans="1:9">
      <c r="A17" s="4"/>
      <c r="B17" s="5">
        <v>5</v>
      </c>
      <c r="C17" s="6" t="s">
        <v>56</v>
      </c>
      <c r="D17" s="6" t="s">
        <v>57</v>
      </c>
      <c r="E17" s="5">
        <v>5</v>
      </c>
      <c r="F17" s="5" t="s">
        <v>26</v>
      </c>
      <c r="G17" s="9" t="s">
        <v>46</v>
      </c>
      <c r="H17" s="6" t="s">
        <v>28</v>
      </c>
      <c r="I17" s="6"/>
    </row>
    <row r="18" spans="1:9">
      <c r="A18" s="4"/>
      <c r="B18" s="5">
        <v>5</v>
      </c>
      <c r="C18" s="6" t="s">
        <v>58</v>
      </c>
      <c r="D18" s="6" t="s">
        <v>59</v>
      </c>
      <c r="E18" s="5">
        <v>2</v>
      </c>
      <c r="F18" s="5" t="s">
        <v>26</v>
      </c>
      <c r="G18" s="9" t="s">
        <v>27</v>
      </c>
      <c r="H18" s="6" t="s">
        <v>28</v>
      </c>
      <c r="I18" s="6"/>
    </row>
    <row r="19" spans="1:9">
      <c r="A19" s="4"/>
      <c r="B19" s="5">
        <v>5</v>
      </c>
      <c r="C19" s="6" t="s">
        <v>60</v>
      </c>
      <c r="D19" s="6" t="s">
        <v>61</v>
      </c>
      <c r="E19" s="5">
        <v>0</v>
      </c>
      <c r="F19" s="5" t="s">
        <v>26</v>
      </c>
      <c r="G19" s="9" t="s">
        <v>46</v>
      </c>
      <c r="H19" s="6" t="s">
        <v>28</v>
      </c>
      <c r="I19" s="6" t="s">
        <v>62</v>
      </c>
    </row>
    <row r="20" spans="1:9">
      <c r="A20" s="11" t="s">
        <v>63</v>
      </c>
      <c r="B20" s="11"/>
      <c r="C20" s="11"/>
      <c r="D20" s="11"/>
      <c r="E20" s="12">
        <f>SUM(E5:E19)</f>
        <v>91</v>
      </c>
      <c r="F20" s="13"/>
      <c r="G20" s="13"/>
      <c r="H20" s="13"/>
      <c r="I20" s="13"/>
    </row>
    <row r="21" ht="15" customHeight="1" spans="1:9">
      <c r="A21" s="14" t="s">
        <v>64</v>
      </c>
      <c r="B21" s="5">
        <v>1</v>
      </c>
      <c r="C21" s="6" t="s">
        <v>65</v>
      </c>
      <c r="D21" s="6" t="s">
        <v>66</v>
      </c>
      <c r="E21" s="5">
        <v>2</v>
      </c>
      <c r="F21" s="5" t="s">
        <v>14</v>
      </c>
      <c r="G21" s="7" t="s">
        <v>15</v>
      </c>
      <c r="H21" s="6" t="s">
        <v>16</v>
      </c>
      <c r="I21" s="6" t="s">
        <v>67</v>
      </c>
    </row>
    <row r="22" spans="1:9">
      <c r="A22" s="14"/>
      <c r="B22" s="5">
        <v>1</v>
      </c>
      <c r="C22" s="6" t="s">
        <v>68</v>
      </c>
      <c r="D22" s="6" t="s">
        <v>69</v>
      </c>
      <c r="E22" s="5">
        <v>0</v>
      </c>
      <c r="F22" s="5" t="s">
        <v>14</v>
      </c>
      <c r="G22" s="7" t="s">
        <v>15</v>
      </c>
      <c r="H22" s="6" t="s">
        <v>16</v>
      </c>
      <c r="I22" s="6" t="s">
        <v>70</v>
      </c>
    </row>
    <row r="23" spans="1:9">
      <c r="A23" s="14"/>
      <c r="B23" s="5">
        <v>2</v>
      </c>
      <c r="C23" s="6" t="s">
        <v>71</v>
      </c>
      <c r="D23" s="6" t="s">
        <v>72</v>
      </c>
      <c r="E23" s="5">
        <v>12</v>
      </c>
      <c r="F23" s="5" t="s">
        <v>26</v>
      </c>
      <c r="G23" s="9" t="s">
        <v>46</v>
      </c>
      <c r="H23" s="6" t="s">
        <v>28</v>
      </c>
      <c r="I23" s="6"/>
    </row>
    <row r="24" spans="1:9">
      <c r="A24" s="14"/>
      <c r="B24" s="5">
        <v>2</v>
      </c>
      <c r="C24" s="6" t="s">
        <v>73</v>
      </c>
      <c r="D24" s="6" t="s">
        <v>74</v>
      </c>
      <c r="E24" s="5">
        <v>8</v>
      </c>
      <c r="F24" s="5" t="s">
        <v>26</v>
      </c>
      <c r="G24" s="9" t="s">
        <v>46</v>
      </c>
      <c r="H24" s="6" t="s">
        <v>28</v>
      </c>
      <c r="I24" s="6"/>
    </row>
    <row r="25" spans="1:9">
      <c r="A25" s="14"/>
      <c r="B25" s="5">
        <v>3</v>
      </c>
      <c r="C25" s="6" t="s">
        <v>75</v>
      </c>
      <c r="D25" s="6" t="s">
        <v>76</v>
      </c>
      <c r="E25" s="5">
        <v>5</v>
      </c>
      <c r="F25" s="5" t="s">
        <v>26</v>
      </c>
      <c r="G25" s="9" t="s">
        <v>27</v>
      </c>
      <c r="H25" s="6" t="s">
        <v>28</v>
      </c>
      <c r="I25" s="6" t="s">
        <v>77</v>
      </c>
    </row>
    <row r="26" spans="1:9">
      <c r="A26" s="14"/>
      <c r="B26" s="5">
        <v>3</v>
      </c>
      <c r="C26" s="6" t="s">
        <v>78</v>
      </c>
      <c r="D26" s="6" t="s">
        <v>79</v>
      </c>
      <c r="E26" s="5">
        <v>6</v>
      </c>
      <c r="F26" s="5" t="s">
        <v>26</v>
      </c>
      <c r="G26" s="8" t="s">
        <v>21</v>
      </c>
      <c r="H26" s="6" t="s">
        <v>28</v>
      </c>
      <c r="I26" s="6" t="s">
        <v>80</v>
      </c>
    </row>
    <row r="27" ht="27.6" spans="1:9">
      <c r="A27" s="14"/>
      <c r="B27" s="5">
        <v>3</v>
      </c>
      <c r="C27" s="6" t="s">
        <v>81</v>
      </c>
      <c r="D27" s="6" t="s">
        <v>82</v>
      </c>
      <c r="E27" s="5">
        <v>3</v>
      </c>
      <c r="F27" s="5" t="s">
        <v>26</v>
      </c>
      <c r="G27" s="9" t="s">
        <v>46</v>
      </c>
      <c r="H27" s="6" t="s">
        <v>28</v>
      </c>
      <c r="I27" s="6"/>
    </row>
    <row r="28" ht="27.6" spans="1:9">
      <c r="A28" s="14"/>
      <c r="B28" s="5">
        <v>3</v>
      </c>
      <c r="C28" s="6" t="s">
        <v>83</v>
      </c>
      <c r="D28" s="6" t="s">
        <v>84</v>
      </c>
      <c r="E28" s="5">
        <v>10</v>
      </c>
      <c r="F28" s="5" t="s">
        <v>26</v>
      </c>
      <c r="G28" s="9" t="s">
        <v>46</v>
      </c>
      <c r="H28" s="6" t="s">
        <v>28</v>
      </c>
      <c r="I28" s="6"/>
    </row>
    <row r="29" spans="1:9">
      <c r="A29" s="14"/>
      <c r="B29" s="5">
        <v>4</v>
      </c>
      <c r="C29" s="6" t="s">
        <v>85</v>
      </c>
      <c r="D29" s="6" t="s">
        <v>86</v>
      </c>
      <c r="E29" s="5">
        <v>7</v>
      </c>
      <c r="F29" s="5" t="s">
        <v>26</v>
      </c>
      <c r="G29" s="9" t="s">
        <v>46</v>
      </c>
      <c r="H29" s="6" t="s">
        <v>28</v>
      </c>
      <c r="I29" s="6"/>
    </row>
    <row r="30" spans="1:9">
      <c r="A30" s="14"/>
      <c r="B30" s="5">
        <v>4</v>
      </c>
      <c r="C30" s="6" t="s">
        <v>87</v>
      </c>
      <c r="D30" s="6" t="s">
        <v>88</v>
      </c>
      <c r="E30" s="5">
        <v>0</v>
      </c>
      <c r="F30" s="5" t="s">
        <v>26</v>
      </c>
      <c r="G30" s="15" t="s">
        <v>89</v>
      </c>
      <c r="H30" s="6" t="s">
        <v>28</v>
      </c>
      <c r="I30" s="6" t="s">
        <v>90</v>
      </c>
    </row>
    <row r="31" spans="1:9">
      <c r="A31" s="14"/>
      <c r="B31" s="5">
        <v>4</v>
      </c>
      <c r="C31" s="6" t="s">
        <v>91</v>
      </c>
      <c r="D31" s="6" t="s">
        <v>92</v>
      </c>
      <c r="E31" s="5">
        <v>0</v>
      </c>
      <c r="F31" s="5" t="s">
        <v>14</v>
      </c>
      <c r="G31" s="7" t="s">
        <v>15</v>
      </c>
      <c r="H31" s="6" t="s">
        <v>16</v>
      </c>
      <c r="I31" s="6" t="s">
        <v>93</v>
      </c>
    </row>
    <row r="32" spans="1:9">
      <c r="A32" s="11" t="s">
        <v>94</v>
      </c>
      <c r="B32" s="11"/>
      <c r="C32" s="11"/>
      <c r="D32" s="11"/>
      <c r="E32" s="12">
        <f>SUM(E21:E31)</f>
        <v>53</v>
      </c>
      <c r="F32" s="13"/>
      <c r="G32" s="13"/>
      <c r="H32" s="13"/>
      <c r="I32" s="13"/>
    </row>
    <row r="33" ht="15.6" spans="1:9">
      <c r="A33" s="16" t="s">
        <v>95</v>
      </c>
      <c r="B33" s="16"/>
      <c r="C33" s="16"/>
      <c r="D33" s="16"/>
      <c r="E33" s="17">
        <f>SUM(E5:E32)</f>
        <v>288</v>
      </c>
      <c r="F33" s="18"/>
      <c r="G33" s="18"/>
      <c r="H33" s="18"/>
      <c r="I33" s="18"/>
    </row>
    <row r="35" spans="1:9">
      <c r="A35" s="19" t="s">
        <v>96</v>
      </c>
    </row>
    <row r="36" spans="1:9">
      <c r="A36" s="20" t="s">
        <v>15</v>
      </c>
      <c r="B36" s="20"/>
    </row>
    <row r="37" spans="1:9">
      <c r="A37" s="21" t="s">
        <v>89</v>
      </c>
      <c r="B37" s="21"/>
    </row>
    <row r="38" spans="1:9">
      <c r="A38" s="22" t="s">
        <v>46</v>
      </c>
      <c r="B38" s="22"/>
    </row>
    <row r="39" spans="1:9">
      <c r="A39" s="23" t="s">
        <v>21</v>
      </c>
      <c r="B39" s="23"/>
    </row>
    <row r="40" spans="1:9">
      <c r="A40" s="24" t="s">
        <v>32</v>
      </c>
      <c r="B40" s="24"/>
    </row>
  </sheetData>
  <mergeCells count="12">
    <mergeCell ref="A1:I1"/>
    <mergeCell ref="A2:I2"/>
    <mergeCell ref="A20:D20"/>
    <mergeCell ref="A32:D32"/>
    <mergeCell ref="A33:D33"/>
    <mergeCell ref="A36:B36"/>
    <mergeCell ref="A37:B37"/>
    <mergeCell ref="A38:B38"/>
    <mergeCell ref="A39:B39"/>
    <mergeCell ref="A40:B40"/>
    <mergeCell ref="A5:A19"/>
    <mergeCell ref="A21:A3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Bang Phong Ban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revision>0</cp:revision>
  <dcterms:created xsi:type="dcterms:W3CDTF">2026-09-24T01:58:00Z</dcterms:created>
  <dcterms:modified xsi:type="dcterms:W3CDTF">2026-09-24T02:15:34Z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6951D821DBA6460483636ACC242CBF0A_12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